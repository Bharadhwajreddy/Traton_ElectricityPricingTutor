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Index" sheetId="1" state="visible" r:id="rId1"/>
    <sheet name="Inputs" sheetId="2" state="visible" r:id="rId2"/>
    <sheet name="Outputs" sheetId="3" state="visible" r:id="rId3"/>
    <sheet name="Country_Germany" sheetId="4" state="visible" r:id="rId4"/>
    <sheet name="Country_Sweden" sheetId="5" state="visible" r:id="rId5"/>
    <sheet name="Country_China" sheetId="6" state="visible" r:id="rId6"/>
  </sheets>
  <definedNames>
    <definedName name="Depot_E">Inputs!$B$2</definedName>
    <definedName name="Depot_Pmax">Inputs!$B$3</definedName>
    <definedName name="Depot_Months">Inputs!$B$4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color rgb="001E3A8A"/>
    </font>
    <font>
      <b val="1"/>
    </font>
  </fonts>
  <fills count="4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16" customWidth="1" min="4" max="4"/>
    <col width="14" customWidth="1" min="5" max="5"/>
    <col width="22" customWidth="1" min="6" max="6"/>
  </cols>
  <sheetData>
    <row r="1">
      <c r="A1" s="1" t="inlineStr">
        <is>
          <t>Country</t>
        </is>
      </c>
      <c r="B1" s="1" t="inlineStr">
        <is>
          <t>Code</t>
        </is>
      </c>
      <c r="C1" s="1" t="inlineStr">
        <is>
          <t>Region</t>
        </is>
      </c>
      <c r="D1" s="1" t="inlineStr">
        <is>
          <t>Status</t>
        </is>
      </c>
      <c r="E1" s="1" t="inlineStr">
        <is>
          <t>Last updated</t>
        </is>
      </c>
      <c r="F1" s="1" t="inlineStr">
        <is>
          <t>Sheet</t>
        </is>
      </c>
    </row>
    <row r="2">
      <c r="A2" t="inlineStr">
        <is>
          <t>Germany</t>
        </is>
      </c>
      <c r="B2" t="inlineStr">
        <is>
          <t>DE</t>
        </is>
      </c>
      <c r="C2" t="inlineStr">
        <is>
          <t>Europe</t>
        </is>
      </c>
      <c r="D2" t="inlineStr">
        <is>
          <t>deep-dive</t>
        </is>
      </c>
      <c r="E2" t="inlineStr">
        <is>
          <t>2026-06-11</t>
        </is>
      </c>
      <c r="F2" t="inlineStr">
        <is>
          <t>Country_Germany</t>
        </is>
      </c>
    </row>
    <row r="3">
      <c r="A3" t="inlineStr">
        <is>
          <t>Sweden</t>
        </is>
      </c>
      <c r="B3" t="inlineStr">
        <is>
          <t>SE</t>
        </is>
      </c>
      <c r="C3" t="inlineStr">
        <is>
          <t>Europe</t>
        </is>
      </c>
      <c r="D3" t="inlineStr">
        <is>
          <t>deep-dive</t>
        </is>
      </c>
      <c r="E3" t="inlineStr">
        <is>
          <t>2026-06-11</t>
        </is>
      </c>
      <c r="F3" t="inlineStr">
        <is>
          <t>Country_Sweden</t>
        </is>
      </c>
    </row>
    <row r="4">
      <c r="A4" t="inlineStr">
        <is>
          <t>China</t>
        </is>
      </c>
      <c r="B4" t="inlineStr">
        <is>
          <t>CN</t>
        </is>
      </c>
      <c r="C4" t="inlineStr">
        <is>
          <t>Asia</t>
        </is>
      </c>
      <c r="D4" t="inlineStr">
        <is>
          <t>deep-dive</t>
        </is>
      </c>
      <c r="E4" t="inlineStr">
        <is>
          <t>2026-06-11</t>
        </is>
      </c>
      <c r="F4" t="inlineStr">
        <is>
          <t>Country_China</t>
        </is>
      </c>
    </row>
    <row r="5">
      <c r="A5" t="inlineStr">
        <is>
          <t>Albania</t>
        </is>
      </c>
      <c r="B5" t="inlineStr"/>
      <c r="C5" t="inlineStr">
        <is>
          <t>Europe</t>
        </is>
      </c>
      <c r="D5" t="inlineStr">
        <is>
          <t>needs-research</t>
        </is>
      </c>
      <c r="E5" t="inlineStr">
        <is>
          <t>2026-06-11</t>
        </is>
      </c>
      <c r="F5" t="inlineStr"/>
    </row>
    <row r="6">
      <c r="A6" t="inlineStr">
        <is>
          <t>Austria</t>
        </is>
      </c>
      <c r="B6" t="inlineStr"/>
      <c r="C6" t="inlineStr">
        <is>
          <t>Europe</t>
        </is>
      </c>
      <c r="D6" t="inlineStr">
        <is>
          <t>needs-research</t>
        </is>
      </c>
      <c r="E6" t="inlineStr">
        <is>
          <t>2026-06-11</t>
        </is>
      </c>
      <c r="F6" t="inlineStr"/>
    </row>
    <row r="7">
      <c r="A7" t="inlineStr">
        <is>
          <t>Belgium</t>
        </is>
      </c>
      <c r="B7" t="inlineStr"/>
      <c r="C7" t="inlineStr">
        <is>
          <t>Europe</t>
        </is>
      </c>
      <c r="D7" t="inlineStr">
        <is>
          <t>needs-research</t>
        </is>
      </c>
      <c r="E7" t="inlineStr">
        <is>
          <t>2026-06-11</t>
        </is>
      </c>
      <c r="F7" t="inlineStr"/>
    </row>
    <row r="8">
      <c r="A8" t="inlineStr">
        <is>
          <t>Bosnia and Herzegovina</t>
        </is>
      </c>
      <c r="B8" t="inlineStr"/>
      <c r="C8" t="inlineStr">
        <is>
          <t>Europe</t>
        </is>
      </c>
      <c r="D8" t="inlineStr">
        <is>
          <t>needs-research</t>
        </is>
      </c>
      <c r="E8" t="inlineStr">
        <is>
          <t>2026-06-11</t>
        </is>
      </c>
      <c r="F8" t="inlineStr"/>
    </row>
    <row r="9">
      <c r="A9" t="inlineStr">
        <is>
          <t>Bulgaria</t>
        </is>
      </c>
      <c r="B9" t="inlineStr"/>
      <c r="C9" t="inlineStr">
        <is>
          <t>Europe</t>
        </is>
      </c>
      <c r="D9" t="inlineStr">
        <is>
          <t>needs-research</t>
        </is>
      </c>
      <c r="E9" t="inlineStr">
        <is>
          <t>2026-06-11</t>
        </is>
      </c>
      <c r="F9" t="inlineStr"/>
    </row>
    <row r="10">
      <c r="A10" t="inlineStr">
        <is>
          <t>Croatia</t>
        </is>
      </c>
      <c r="B10" t="inlineStr"/>
      <c r="C10" t="inlineStr">
        <is>
          <t>Europe</t>
        </is>
      </c>
      <c r="D10" t="inlineStr">
        <is>
          <t>needs-research</t>
        </is>
      </c>
      <c r="E10" t="inlineStr">
        <is>
          <t>2026-06-11</t>
        </is>
      </c>
      <c r="F10" t="inlineStr"/>
    </row>
    <row r="11">
      <c r="A11" t="inlineStr">
        <is>
          <t>Cyprus</t>
        </is>
      </c>
      <c r="B11" t="inlineStr"/>
      <c r="C11" t="inlineStr">
        <is>
          <t>Europe</t>
        </is>
      </c>
      <c r="D11" t="inlineStr">
        <is>
          <t>needs-research</t>
        </is>
      </c>
      <c r="E11" t="inlineStr">
        <is>
          <t>2026-06-11</t>
        </is>
      </c>
      <c r="F11" t="inlineStr"/>
    </row>
    <row r="12">
      <c r="A12" t="inlineStr">
        <is>
          <t>Czechia</t>
        </is>
      </c>
      <c r="B12" t="inlineStr"/>
      <c r="C12" t="inlineStr">
        <is>
          <t>Europe</t>
        </is>
      </c>
      <c r="D12" t="inlineStr">
        <is>
          <t>needs-research</t>
        </is>
      </c>
      <c r="E12" t="inlineStr">
        <is>
          <t>2026-06-11</t>
        </is>
      </c>
      <c r="F12" t="inlineStr"/>
    </row>
    <row r="13">
      <c r="A13" t="inlineStr">
        <is>
          <t>Denmark</t>
        </is>
      </c>
      <c r="B13" t="inlineStr"/>
      <c r="C13" t="inlineStr">
        <is>
          <t>Europe</t>
        </is>
      </c>
      <c r="D13" t="inlineStr">
        <is>
          <t>needs-research</t>
        </is>
      </c>
      <c r="E13" t="inlineStr">
        <is>
          <t>2026-06-11</t>
        </is>
      </c>
      <c r="F13" t="inlineStr"/>
    </row>
    <row r="14">
      <c r="A14" t="inlineStr">
        <is>
          <t>Estonia</t>
        </is>
      </c>
      <c r="B14" t="inlineStr"/>
      <c r="C14" t="inlineStr">
        <is>
          <t>Europe</t>
        </is>
      </c>
      <c r="D14" t="inlineStr">
        <is>
          <t>needs-research</t>
        </is>
      </c>
      <c r="E14" t="inlineStr">
        <is>
          <t>2026-06-11</t>
        </is>
      </c>
      <c r="F14" t="inlineStr"/>
    </row>
    <row r="15">
      <c r="A15" t="inlineStr">
        <is>
          <t>Finland</t>
        </is>
      </c>
      <c r="B15" t="inlineStr"/>
      <c r="C15" t="inlineStr">
        <is>
          <t>Europe</t>
        </is>
      </c>
      <c r="D15" t="inlineStr">
        <is>
          <t>needs-research</t>
        </is>
      </c>
      <c r="E15" t="inlineStr">
        <is>
          <t>2026-06-11</t>
        </is>
      </c>
      <c r="F15" t="inlineStr"/>
    </row>
    <row r="16">
      <c r="A16" t="inlineStr">
        <is>
          <t>France</t>
        </is>
      </c>
      <c r="B16" t="inlineStr"/>
      <c r="C16" t="inlineStr">
        <is>
          <t>Europe</t>
        </is>
      </c>
      <c r="D16" t="inlineStr">
        <is>
          <t>needs-research</t>
        </is>
      </c>
      <c r="E16" t="inlineStr">
        <is>
          <t>2026-06-11</t>
        </is>
      </c>
      <c r="F16" t="inlineStr"/>
    </row>
    <row r="17">
      <c r="A17" t="inlineStr">
        <is>
          <t>Greece</t>
        </is>
      </c>
      <c r="B17" t="inlineStr"/>
      <c r="C17" t="inlineStr">
        <is>
          <t>Europe</t>
        </is>
      </c>
      <c r="D17" t="inlineStr">
        <is>
          <t>needs-research</t>
        </is>
      </c>
      <c r="E17" t="inlineStr">
        <is>
          <t>2026-06-11</t>
        </is>
      </c>
      <c r="F17" t="inlineStr"/>
    </row>
    <row r="18">
      <c r="A18" t="inlineStr">
        <is>
          <t>Hungary</t>
        </is>
      </c>
      <c r="B18" t="inlineStr"/>
      <c r="C18" t="inlineStr">
        <is>
          <t>Europe</t>
        </is>
      </c>
      <c r="D18" t="inlineStr">
        <is>
          <t>needs-research</t>
        </is>
      </c>
      <c r="E18" t="inlineStr">
        <is>
          <t>2026-06-11</t>
        </is>
      </c>
      <c r="F18" t="inlineStr"/>
    </row>
    <row r="19">
      <c r="A19" t="inlineStr">
        <is>
          <t>Iceland</t>
        </is>
      </c>
      <c r="B19" t="inlineStr"/>
      <c r="C19" t="inlineStr">
        <is>
          <t>Europe</t>
        </is>
      </c>
      <c r="D19" t="inlineStr">
        <is>
          <t>needs-research</t>
        </is>
      </c>
      <c r="E19" t="inlineStr">
        <is>
          <t>2026-06-11</t>
        </is>
      </c>
      <c r="F19" t="inlineStr"/>
    </row>
    <row r="20">
      <c r="A20" t="inlineStr">
        <is>
          <t>Ireland</t>
        </is>
      </c>
      <c r="B20" t="inlineStr"/>
      <c r="C20" t="inlineStr">
        <is>
          <t>Europe</t>
        </is>
      </c>
      <c r="D20" t="inlineStr">
        <is>
          <t>needs-research</t>
        </is>
      </c>
      <c r="E20" t="inlineStr">
        <is>
          <t>2026-06-11</t>
        </is>
      </c>
      <c r="F20" t="inlineStr"/>
    </row>
    <row r="21">
      <c r="A21" t="inlineStr">
        <is>
          <t>Italy</t>
        </is>
      </c>
      <c r="B21" t="inlineStr"/>
      <c r="C21" t="inlineStr">
        <is>
          <t>Europe</t>
        </is>
      </c>
      <c r="D21" t="inlineStr">
        <is>
          <t>needs-research</t>
        </is>
      </c>
      <c r="E21" t="inlineStr">
        <is>
          <t>2026-06-11</t>
        </is>
      </c>
      <c r="F21" t="inlineStr"/>
    </row>
    <row r="22">
      <c r="A22" t="inlineStr">
        <is>
          <t>Kosovo</t>
        </is>
      </c>
      <c r="B22" t="inlineStr"/>
      <c r="C22" t="inlineStr">
        <is>
          <t>Europe</t>
        </is>
      </c>
      <c r="D22" t="inlineStr">
        <is>
          <t>needs-research</t>
        </is>
      </c>
      <c r="E22" t="inlineStr">
        <is>
          <t>2026-06-11</t>
        </is>
      </c>
      <c r="F22" t="inlineStr"/>
    </row>
    <row r="23">
      <c r="A23" t="inlineStr">
        <is>
          <t>Latvia</t>
        </is>
      </c>
      <c r="B23" t="inlineStr"/>
      <c r="C23" t="inlineStr">
        <is>
          <t>Europe</t>
        </is>
      </c>
      <c r="D23" t="inlineStr">
        <is>
          <t>needs-research</t>
        </is>
      </c>
      <c r="E23" t="inlineStr">
        <is>
          <t>2026-06-11</t>
        </is>
      </c>
      <c r="F23" t="inlineStr"/>
    </row>
    <row r="24">
      <c r="A24" t="inlineStr">
        <is>
          <t>Lithuania</t>
        </is>
      </c>
      <c r="B24" t="inlineStr"/>
      <c r="C24" t="inlineStr">
        <is>
          <t>Europe</t>
        </is>
      </c>
      <c r="D24" t="inlineStr">
        <is>
          <t>needs-research</t>
        </is>
      </c>
      <c r="E24" t="inlineStr">
        <is>
          <t>2026-06-11</t>
        </is>
      </c>
      <c r="F24" t="inlineStr"/>
    </row>
    <row r="25">
      <c r="A25" t="inlineStr">
        <is>
          <t>Luxembourg</t>
        </is>
      </c>
      <c r="B25" t="inlineStr"/>
      <c r="C25" t="inlineStr">
        <is>
          <t>Europe</t>
        </is>
      </c>
      <c r="D25" t="inlineStr">
        <is>
          <t>needs-research</t>
        </is>
      </c>
      <c r="E25" t="inlineStr">
        <is>
          <t>2026-06-11</t>
        </is>
      </c>
      <c r="F25" t="inlineStr"/>
    </row>
    <row r="26">
      <c r="A26" t="inlineStr">
        <is>
          <t>Malta</t>
        </is>
      </c>
      <c r="B26" t="inlineStr"/>
      <c r="C26" t="inlineStr">
        <is>
          <t>Europe</t>
        </is>
      </c>
      <c r="D26" t="inlineStr">
        <is>
          <t>needs-research</t>
        </is>
      </c>
      <c r="E26" t="inlineStr">
        <is>
          <t>2026-06-11</t>
        </is>
      </c>
      <c r="F26" t="inlineStr"/>
    </row>
    <row r="27">
      <c r="A27" t="inlineStr">
        <is>
          <t>Moldova</t>
        </is>
      </c>
      <c r="B27" t="inlineStr"/>
      <c r="C27" t="inlineStr">
        <is>
          <t>Europe</t>
        </is>
      </c>
      <c r="D27" t="inlineStr">
        <is>
          <t>needs-research</t>
        </is>
      </c>
      <c r="E27" t="inlineStr">
        <is>
          <t>2026-06-11</t>
        </is>
      </c>
      <c r="F27" t="inlineStr"/>
    </row>
    <row r="28">
      <c r="A28" t="inlineStr">
        <is>
          <t>Montenegro</t>
        </is>
      </c>
      <c r="B28" t="inlineStr"/>
      <c r="C28" t="inlineStr">
        <is>
          <t>Europe</t>
        </is>
      </c>
      <c r="D28" t="inlineStr">
        <is>
          <t>needs-research</t>
        </is>
      </c>
      <c r="E28" t="inlineStr">
        <is>
          <t>2026-06-11</t>
        </is>
      </c>
      <c r="F28" t="inlineStr"/>
    </row>
    <row r="29">
      <c r="A29" t="inlineStr">
        <is>
          <t>Netherlands</t>
        </is>
      </c>
      <c r="B29" t="inlineStr"/>
      <c r="C29" t="inlineStr">
        <is>
          <t>Europe</t>
        </is>
      </c>
      <c r="D29" t="inlineStr">
        <is>
          <t>needs-research</t>
        </is>
      </c>
      <c r="E29" t="inlineStr">
        <is>
          <t>2026-06-11</t>
        </is>
      </c>
      <c r="F29" t="inlineStr"/>
    </row>
    <row r="30">
      <c r="A30" t="inlineStr">
        <is>
          <t>North Macedonia</t>
        </is>
      </c>
      <c r="B30" t="inlineStr"/>
      <c r="C30" t="inlineStr">
        <is>
          <t>Europe</t>
        </is>
      </c>
      <c r="D30" t="inlineStr">
        <is>
          <t>needs-research</t>
        </is>
      </c>
      <c r="E30" t="inlineStr">
        <is>
          <t>2026-06-11</t>
        </is>
      </c>
      <c r="F30" t="inlineStr"/>
    </row>
    <row r="31">
      <c r="A31" t="inlineStr">
        <is>
          <t>Norway</t>
        </is>
      </c>
      <c r="B31" t="inlineStr"/>
      <c r="C31" t="inlineStr">
        <is>
          <t>Europe</t>
        </is>
      </c>
      <c r="D31" t="inlineStr">
        <is>
          <t>needs-research</t>
        </is>
      </c>
      <c r="E31" t="inlineStr">
        <is>
          <t>2026-06-11</t>
        </is>
      </c>
      <c r="F31" t="inlineStr"/>
    </row>
    <row r="32">
      <c r="A32" t="inlineStr">
        <is>
          <t>Poland</t>
        </is>
      </c>
      <c r="B32" t="inlineStr"/>
      <c r="C32" t="inlineStr">
        <is>
          <t>Europe</t>
        </is>
      </c>
      <c r="D32" t="inlineStr">
        <is>
          <t>needs-research</t>
        </is>
      </c>
      <c r="E32" t="inlineStr">
        <is>
          <t>2026-06-11</t>
        </is>
      </c>
      <c r="F32" t="inlineStr"/>
    </row>
    <row r="33">
      <c r="A33" t="inlineStr">
        <is>
          <t>Portugal</t>
        </is>
      </c>
      <c r="B33" t="inlineStr"/>
      <c r="C33" t="inlineStr">
        <is>
          <t>Europe</t>
        </is>
      </c>
      <c r="D33" t="inlineStr">
        <is>
          <t>needs-research</t>
        </is>
      </c>
      <c r="E33" t="inlineStr">
        <is>
          <t>2026-06-11</t>
        </is>
      </c>
      <c r="F33" t="inlineStr"/>
    </row>
    <row r="34">
      <c r="A34" t="inlineStr">
        <is>
          <t>Romania</t>
        </is>
      </c>
      <c r="B34" t="inlineStr"/>
      <c r="C34" t="inlineStr">
        <is>
          <t>Europe</t>
        </is>
      </c>
      <c r="D34" t="inlineStr">
        <is>
          <t>needs-research</t>
        </is>
      </c>
      <c r="E34" t="inlineStr">
        <is>
          <t>2026-06-11</t>
        </is>
      </c>
      <c r="F34" t="inlineStr"/>
    </row>
    <row r="35">
      <c r="A35" t="inlineStr">
        <is>
          <t>Serbia</t>
        </is>
      </c>
      <c r="B35" t="inlineStr"/>
      <c r="C35" t="inlineStr">
        <is>
          <t>Europe</t>
        </is>
      </c>
      <c r="D35" t="inlineStr">
        <is>
          <t>needs-research</t>
        </is>
      </c>
      <c r="E35" t="inlineStr">
        <is>
          <t>2026-06-11</t>
        </is>
      </c>
      <c r="F35" t="inlineStr"/>
    </row>
    <row r="36">
      <c r="A36" t="inlineStr">
        <is>
          <t>Slovakia</t>
        </is>
      </c>
      <c r="B36" t="inlineStr"/>
      <c r="C36" t="inlineStr">
        <is>
          <t>Europe</t>
        </is>
      </c>
      <c r="D36" t="inlineStr">
        <is>
          <t>needs-research</t>
        </is>
      </c>
      <c r="E36" t="inlineStr">
        <is>
          <t>2026-06-11</t>
        </is>
      </c>
      <c r="F36" t="inlineStr"/>
    </row>
    <row r="37">
      <c r="A37" t="inlineStr">
        <is>
          <t>Slovenia</t>
        </is>
      </c>
      <c r="B37" t="inlineStr"/>
      <c r="C37" t="inlineStr">
        <is>
          <t>Europe</t>
        </is>
      </c>
      <c r="D37" t="inlineStr">
        <is>
          <t>needs-research</t>
        </is>
      </c>
      <c r="E37" t="inlineStr">
        <is>
          <t>2026-06-11</t>
        </is>
      </c>
      <c r="F37" t="inlineStr"/>
    </row>
    <row r="38">
      <c r="A38" t="inlineStr">
        <is>
          <t>Spain</t>
        </is>
      </c>
      <c r="B38" t="inlineStr"/>
      <c r="C38" t="inlineStr">
        <is>
          <t>Europe</t>
        </is>
      </c>
      <c r="D38" t="inlineStr">
        <is>
          <t>needs-research</t>
        </is>
      </c>
      <c r="E38" t="inlineStr">
        <is>
          <t>2026-06-11</t>
        </is>
      </c>
      <c r="F38" t="inlineStr"/>
    </row>
    <row r="39">
      <c r="A39" t="inlineStr">
        <is>
          <t>Switzerland</t>
        </is>
      </c>
      <c r="B39" t="inlineStr"/>
      <c r="C39" t="inlineStr">
        <is>
          <t>Europe</t>
        </is>
      </c>
      <c r="D39" t="inlineStr">
        <is>
          <t>needs-research</t>
        </is>
      </c>
      <c r="E39" t="inlineStr">
        <is>
          <t>2026-06-11</t>
        </is>
      </c>
      <c r="F39" t="inlineStr"/>
    </row>
    <row r="40">
      <c r="A40" t="inlineStr">
        <is>
          <t>Ukraine</t>
        </is>
      </c>
      <c r="B40" t="inlineStr"/>
      <c r="C40" t="inlineStr">
        <is>
          <t>Europe</t>
        </is>
      </c>
      <c r="D40" t="inlineStr">
        <is>
          <t>needs-research</t>
        </is>
      </c>
      <c r="E40" t="inlineStr">
        <is>
          <t>2026-06-11</t>
        </is>
      </c>
      <c r="F40" t="inlineStr"/>
    </row>
    <row r="41">
      <c r="A41" t="inlineStr">
        <is>
          <t>United Kingdom</t>
        </is>
      </c>
      <c r="B41" t="inlineStr"/>
      <c r="C41" t="inlineStr">
        <is>
          <t>Europe</t>
        </is>
      </c>
      <c r="D41" t="inlineStr">
        <is>
          <t>needs-research</t>
        </is>
      </c>
      <c r="E41" t="inlineStr">
        <is>
          <t>2026-06-11</t>
        </is>
      </c>
      <c r="F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16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Name</t>
        </is>
      </c>
    </row>
    <row r="2">
      <c r="A2" t="inlineStr">
        <is>
          <t>Annual energy</t>
        </is>
      </c>
      <c r="B2" t="n">
        <v>2000000</v>
      </c>
      <c r="C2" t="inlineStr">
        <is>
          <t>kWh</t>
        </is>
      </c>
      <c r="D2" t="inlineStr">
        <is>
          <t>Depot_E</t>
        </is>
      </c>
    </row>
    <row r="3">
      <c r="A3" t="inlineStr">
        <is>
          <t>Peak / contracted power</t>
        </is>
      </c>
      <c r="B3" t="n">
        <v>1000</v>
      </c>
      <c r="C3" t="inlineStr">
        <is>
          <t>kW</t>
        </is>
      </c>
      <c r="D3" t="inlineStr">
        <is>
          <t>Depot_Pmax</t>
        </is>
      </c>
    </row>
    <row r="4">
      <c r="A4" t="inlineStr">
        <is>
          <t>Billing months</t>
        </is>
      </c>
      <c r="B4" t="n">
        <v>12</v>
      </c>
      <c r="C4" t="inlineStr">
        <is>
          <t>months</t>
        </is>
      </c>
      <c r="D4" t="inlineStr">
        <is>
          <t>Depot_Months</t>
        </is>
      </c>
    </row>
    <row r="5">
      <c r="A5" t="inlineStr">
        <is>
          <t>Utilisation hours</t>
        </is>
      </c>
      <c r="B5">
        <f>Depot_E/Depot_Pmax</f>
        <v/>
      </c>
      <c r="C5" t="inlineStr">
        <is>
          <t>h/yr</t>
        </is>
      </c>
      <c r="D5" t="inlineStr">
        <is>
          <t>Depot_Hours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10" customWidth="1" min="3" max="3"/>
    <col width="46" customWidth="1" min="4" max="4"/>
  </cols>
  <sheetData>
    <row r="1">
      <c r="A1" s="1" t="inlineStr">
        <is>
          <t>Country</t>
        </is>
      </c>
      <c r="B1" s="1" t="inlineStr">
        <is>
          <t>Regulated/illustrative annual cost</t>
        </is>
      </c>
      <c r="C1" s="1" t="inlineStr">
        <is>
          <t>Currency</t>
        </is>
      </c>
      <c r="D1" s="1" t="inlineStr">
        <is>
          <t>Notes</t>
        </is>
      </c>
    </row>
    <row r="2">
      <c r="A2" t="inlineStr">
        <is>
          <t>Germany</t>
        </is>
      </c>
      <c r="B2" t="inlineStr">
        <is>
          <t>Stromsteuer+§19+Offshore+KWKG+Konz (regulated part)</t>
        </is>
      </c>
      <c r="C2" t="inlineStr">
        <is>
          <t>EUR</t>
        </is>
      </c>
      <c r="D2" t="inlineStr">
        <is>
          <t>Energy &amp; grid (DSO) market-specific; see sheet</t>
        </is>
      </c>
    </row>
    <row r="3">
      <c r="A3" t="inlineStr">
        <is>
          <t>Sweden</t>
        </is>
      </c>
      <c r="B3">
        <f>Depot_Months*54*Depot_Pmax + Depot_E*0.360</f>
        <v/>
      </c>
      <c r="C3" t="inlineStr">
        <is>
          <t>SEK</t>
        </is>
      </c>
      <c r="D3" t="inlineStr">
        <is>
          <t>Effektavgift + energiskatt; energy zone-dependent</t>
        </is>
      </c>
    </row>
    <row r="4">
      <c r="A4" t="inlineStr">
        <is>
          <t>China</t>
        </is>
      </c>
      <c r="B4">
        <f>Depot_Pmax*32*Depot_Months</f>
        <v/>
      </c>
      <c r="C4" t="inlineStr">
        <is>
          <t>CNY</t>
        </is>
      </c>
      <c r="D4" t="inlineStr">
        <is>
          <t>Capacity charge only; +ToU energy ~1.27M, total ~1.65M (Jiangsu)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6" customWidth="1" min="3" max="3"/>
    <col width="40" customWidth="1" min="4" max="4"/>
    <col width="22" customWidth="1" min="5" max="5"/>
  </cols>
  <sheetData>
    <row r="1">
      <c r="A1" s="2" t="inlineStr">
        <is>
          <t>Germany — truck-depot electricity tariff</t>
        </is>
      </c>
    </row>
    <row r="3">
      <c r="A3" s="3" t="inlineStr">
        <is>
          <t>A · Classification &amp; assumptions</t>
        </is>
      </c>
      <c r="B3" s="3" t="n"/>
      <c r="C3" s="3" t="n"/>
      <c r="D3" s="3" t="n"/>
      <c r="E3" s="3" t="n"/>
    </row>
    <row r="4" ht="45" customHeight="1">
      <c r="A4" s="4" t="inlineStr">
        <is>
          <t>Medium voltage (10-20 kV), RLM-metered industrial Sondervertragskunde. Utilisation t_B = E/P_max = 2000 h -&gt; &lt;2500 h Netzentgelt regime.</t>
        </is>
      </c>
    </row>
    <row r="6">
      <c r="A6" s="3" t="inlineStr">
        <is>
          <t>B · Tariff components</t>
        </is>
      </c>
      <c r="B6" s="3" t="n"/>
      <c r="C6" s="3" t="n"/>
      <c r="D6" s="3" t="n"/>
      <c r="E6" s="3" t="n"/>
    </row>
    <row r="7">
      <c r="A7" s="1" t="inlineStr">
        <is>
          <t>Component</t>
        </is>
      </c>
      <c r="B7" s="1" t="inlineStr">
        <is>
          <t>Category</t>
        </is>
      </c>
      <c r="C7" s="1" t="inlineStr">
        <is>
          <t>Legal basis</t>
        </is>
      </c>
      <c r="D7" s="1" t="inlineStr">
        <is>
          <t>Calculation</t>
        </is>
      </c>
      <c r="E7" s="1" t="inlineStr">
        <is>
          <t>Region variation</t>
        </is>
      </c>
    </row>
    <row r="8">
      <c r="A8" s="5" t="inlineStr">
        <is>
          <t>Energiepreis / Beschaffung</t>
        </is>
      </c>
      <c r="B8" s="5" t="inlineStr">
        <is>
          <t>energy</t>
        </is>
      </c>
      <c r="C8" s="5" t="inlineStr">
        <is>
          <t>Free contract (EPEX/EEX)</t>
        </is>
      </c>
      <c r="D8" s="5" t="inlineStr">
        <is>
          <t>E x p_energy (market)</t>
        </is>
      </c>
      <c r="E8" s="5" t="inlineStr">
        <is>
          <t>Supplier-specific</t>
        </is>
      </c>
    </row>
    <row r="9">
      <c r="A9" s="5" t="inlineStr">
        <is>
          <t>Netzentgelt Leistungspreis</t>
        </is>
      </c>
      <c r="B9" s="5" t="inlineStr">
        <is>
          <t>grid-power</t>
        </is>
      </c>
      <c r="C9" s="5" t="inlineStr">
        <is>
          <t>§17 StromNEV; DSO Preisblatt</t>
        </is>
      </c>
      <c r="D9" s="5" t="inlineStr">
        <is>
          <t>P_max x LP(&lt;2500h)</t>
        </is>
      </c>
      <c r="E9" s="5" t="inlineStr">
        <is>
          <t>Each DSO</t>
        </is>
      </c>
    </row>
    <row r="10">
      <c r="A10" s="5" t="inlineStr">
        <is>
          <t>Netzentgelt Arbeitspreis</t>
        </is>
      </c>
      <c r="B10" s="5" t="inlineStr">
        <is>
          <t>grid-energy</t>
        </is>
      </c>
      <c r="C10" s="5" t="inlineStr">
        <is>
          <t>§17 StromNEV; DSO Preisblatt</t>
        </is>
      </c>
      <c r="D10" s="5" t="inlineStr">
        <is>
          <t>E x AP(&lt;2500h)</t>
        </is>
      </c>
      <c r="E10" s="5" t="inlineStr">
        <is>
          <t>Each DSO</t>
        </is>
      </c>
    </row>
    <row r="11">
      <c r="A11" s="5" t="inlineStr">
        <is>
          <t>Stromsteuer</t>
        </is>
      </c>
      <c r="B11" s="5" t="inlineStr">
        <is>
          <t>tax</t>
        </is>
      </c>
      <c r="C11" s="5" t="inlineStr">
        <is>
          <t>StromStG §9b</t>
        </is>
      </c>
      <c r="D11" s="5" t="inlineStr">
        <is>
          <t>E x 0.0205 EUR/kWh (=41,000)</t>
        </is>
      </c>
      <c r="E11" s="5" t="inlineStr">
        <is>
          <t>Federal</t>
        </is>
      </c>
    </row>
    <row r="12">
      <c r="A12" s="5" t="inlineStr">
        <is>
          <t>Konzessionsabgabe</t>
        </is>
      </c>
      <c r="B12" s="5" t="inlineStr">
        <is>
          <t>concession</t>
        </is>
      </c>
      <c r="C12" s="5" t="inlineStr">
        <is>
          <t>§48 EnWG; KAV §2</t>
        </is>
      </c>
      <c r="D12" s="5" t="inlineStr">
        <is>
          <t>E x 0.0011 (cap; Grenzpreis test)</t>
        </is>
      </c>
      <c r="E12" s="5" t="inlineStr">
        <is>
          <t>Municipality</t>
        </is>
      </c>
    </row>
    <row r="13">
      <c r="A13" s="5" t="inlineStr">
        <is>
          <t>KWKG-Umlage</t>
        </is>
      </c>
      <c r="B13" s="5" t="inlineStr">
        <is>
          <t>surcharge</t>
        </is>
      </c>
      <c r="C13" s="5" t="inlineStr">
        <is>
          <t>KWKG; EnFG</t>
        </is>
      </c>
      <c r="D13" s="5" t="inlineStr">
        <is>
          <t>E1 x 0.00446 + E2 x B'</t>
        </is>
      </c>
      <c r="E13" s="5" t="inlineStr">
        <is>
          <t>National</t>
        </is>
      </c>
    </row>
    <row r="14">
      <c r="A14" s="5" t="inlineStr">
        <is>
          <t>§19 StromNEV-Umlage</t>
        </is>
      </c>
      <c r="B14" s="5" t="inlineStr">
        <is>
          <t>surcharge</t>
        </is>
      </c>
      <c r="C14" s="5" t="inlineStr">
        <is>
          <t>§19 StromNEV; EnFG</t>
        </is>
      </c>
      <c r="D14" s="5" t="inlineStr">
        <is>
          <t>E1 x 0.01559 + E2 x 0.00050 (=16,090)</t>
        </is>
      </c>
      <c r="E14" s="5" t="inlineStr">
        <is>
          <t>National</t>
        </is>
      </c>
    </row>
    <row r="15">
      <c r="A15" s="5" t="inlineStr">
        <is>
          <t>Offshore-Netzumlage</t>
        </is>
      </c>
      <c r="B15" s="5" t="inlineStr">
        <is>
          <t>surcharge</t>
        </is>
      </c>
      <c r="C15" s="5" t="inlineStr">
        <is>
          <t>§17f EnWG; EnFG</t>
        </is>
      </c>
      <c r="D15" s="5" t="inlineStr">
        <is>
          <t>E1 x 0.00941 + E2 x B'</t>
        </is>
      </c>
      <c r="E15" s="5" t="inlineStr">
        <is>
          <t>National</t>
        </is>
      </c>
    </row>
    <row r="16">
      <c r="A16" s="5" t="inlineStr">
        <is>
          <t>AbLaV-Umlage</t>
        </is>
      </c>
      <c r="B16" s="5" t="inlineStr">
        <is>
          <t>surcharge</t>
        </is>
      </c>
      <c r="C16" s="5" t="inlineStr">
        <is>
          <t>§18 AbLaV</t>
        </is>
      </c>
      <c r="D16" s="5" t="inlineStr">
        <is>
          <t>0 (not levied since 2023)</t>
        </is>
      </c>
      <c r="E16" s="5" t="inlineStr">
        <is>
          <t>National</t>
        </is>
      </c>
    </row>
    <row r="17">
      <c r="A17" s="5" t="inlineStr">
        <is>
          <t>EEG-Umlage</t>
        </is>
      </c>
      <c r="B17" s="5" t="inlineStr">
        <is>
          <t>surcharge</t>
        </is>
      </c>
      <c r="C17" s="5" t="inlineStr">
        <is>
          <t>EEG/EnFG</t>
        </is>
      </c>
      <c r="D17" s="5" t="inlineStr">
        <is>
          <t>0 (abolished 2022)</t>
        </is>
      </c>
      <c r="E17" s="5" t="inlineStr">
        <is>
          <t>N/A</t>
        </is>
      </c>
    </row>
    <row r="18">
      <c r="A18" s="5" t="inlineStr">
        <is>
          <t>Messstellenbetrieb</t>
        </is>
      </c>
      <c r="B18" s="5" t="inlineStr">
        <is>
          <t>metering</t>
        </is>
      </c>
      <c r="C18" s="5" t="inlineStr">
        <is>
          <t>MsbG §32</t>
        </is>
      </c>
      <c r="D18" s="5" t="inlineStr">
        <is>
          <t>MsbG-capped EUR/yr (not modelled)</t>
        </is>
      </c>
      <c r="E18" s="5" t="inlineStr">
        <is>
          <t>Msb-specific</t>
        </is>
      </c>
    </row>
    <row r="19">
      <c r="A19" s="5" t="inlineStr">
        <is>
          <t>Mehrwertsteuer (VAT)</t>
        </is>
      </c>
      <c r="B19" s="5" t="inlineStr">
        <is>
          <t>tax</t>
        </is>
      </c>
      <c r="C19" s="5" t="inlineStr">
        <is>
          <t>UStG</t>
        </is>
      </c>
      <c r="D19" s="5" t="inlineStr">
        <is>
          <t>19% on net (recoverable)</t>
        </is>
      </c>
      <c r="E19" s="5" t="inlineStr">
        <is>
          <t>Federal</t>
        </is>
      </c>
    </row>
    <row r="21">
      <c r="A21" s="3" t="inlineStr">
        <is>
          <t>C · Symbolic formulas</t>
        </is>
      </c>
      <c r="B21" s="3" t="n"/>
      <c r="C21" s="3" t="n"/>
      <c r="D21" s="3" t="n"/>
      <c r="E21" s="3" t="n"/>
    </row>
    <row r="22">
      <c r="A22" s="6" t="inlineStr">
        <is>
          <t>Energy</t>
        </is>
      </c>
      <c r="B22" s="4" t="inlineStr">
        <is>
          <t>C_energy = E * p_energy</t>
        </is>
      </c>
    </row>
    <row r="23">
      <c r="A23" s="6" t="inlineStr">
        <is>
          <t>Grid</t>
        </is>
      </c>
      <c r="B23" s="4" t="inlineStr">
        <is>
          <t>C_grid = P_max*LP + E*AP   (regime &lt;2500h)</t>
        </is>
      </c>
    </row>
    <row r="24">
      <c r="A24" s="6" t="inlineStr">
        <is>
          <t>Electricity tax</t>
        </is>
      </c>
      <c r="B24" s="4" t="inlineStr">
        <is>
          <t>C_stromst = E*0.0205 = 41000</t>
        </is>
      </c>
    </row>
    <row r="25">
      <c r="A25" s="6" t="inlineStr">
        <is>
          <t>Concession</t>
        </is>
      </c>
      <c r="B25" s="4" t="inlineStr">
        <is>
          <t>C_konz = E*0.0011 = 2200</t>
        </is>
      </c>
    </row>
    <row r="26">
      <c r="A26" s="6" t="inlineStr">
        <is>
          <t>KWKG</t>
        </is>
      </c>
      <c r="B26" s="4" t="inlineStr">
        <is>
          <t>C_KWKG = E1*0.00446 + E2*Bprime</t>
        </is>
      </c>
    </row>
    <row r="27">
      <c r="A27" s="6" t="inlineStr">
        <is>
          <t>§19 StromNEV</t>
        </is>
      </c>
      <c r="B27" s="4" t="inlineStr">
        <is>
          <t>C_19 = E1*0.01559 + E2*0.00050 = 16090</t>
        </is>
      </c>
    </row>
    <row r="28">
      <c r="A28" s="6" t="inlineStr">
        <is>
          <t>Offshore</t>
        </is>
      </c>
      <c r="B28" s="4" t="inlineStr">
        <is>
          <t>C_offshore = E1*0.00941 + E2*Bprime</t>
        </is>
      </c>
    </row>
    <row r="29">
      <c r="A29" s="6" t="inlineStr">
        <is>
          <t>TOTAL (net)</t>
        </is>
      </c>
      <c r="B29" s="4" t="inlineStr">
        <is>
          <t>C_net = sum(above) + C_metering ;  C_gross = C_net*1.19</t>
        </is>
      </c>
    </row>
    <row r="31">
      <c r="A31" s="3" t="inlineStr">
        <is>
          <t>D · V2G / feed-in / export</t>
        </is>
      </c>
      <c r="B31" s="3" t="n"/>
      <c r="C31" s="3" t="n"/>
      <c r="D31" s="3" t="n"/>
      <c r="E31" s="3" t="n"/>
    </row>
    <row r="32" ht="60" customHeight="1">
      <c r="A32" s="4" t="inlineStr">
        <is>
          <t>§118 Abs.6 EnWG: storage/bidirectional (V2G) charging exempt from double grid fees; via §21 EnFG treated as storage (0.000 ct/kWh surcharge). BNetzA MiSpeL from 2026-04, no 2nd meter.</t>
        </is>
      </c>
    </row>
    <row r="34">
      <c r="A34" s="3" t="inlineStr">
        <is>
          <t>F · References — see the web app country page for full citation list</t>
        </is>
      </c>
      <c r="B34" s="3" t="n"/>
      <c r="C34" s="3" t="n"/>
      <c r="D34" s="3" t="n"/>
      <c r="E34" s="3" t="n"/>
    </row>
  </sheetData>
  <mergeCells count="10">
    <mergeCell ref="B23:E23"/>
    <mergeCell ref="B26:E26"/>
    <mergeCell ref="A4:E4"/>
    <mergeCell ref="B27:E27"/>
    <mergeCell ref="B29:E29"/>
    <mergeCell ref="B25:E25"/>
    <mergeCell ref="B24:E24"/>
    <mergeCell ref="A32:E32"/>
    <mergeCell ref="B28:E28"/>
    <mergeCell ref="B22:E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6" customWidth="1" min="3" max="3"/>
    <col width="40" customWidth="1" min="4" max="4"/>
    <col width="22" customWidth="1" min="5" max="5"/>
  </cols>
  <sheetData>
    <row r="1">
      <c r="A1" s="2" t="inlineStr">
        <is>
          <t>Sweden — truck-depot electricity tariff</t>
        </is>
      </c>
    </row>
    <row r="3">
      <c r="A3" s="3" t="inlineStr">
        <is>
          <t>A · Classification &amp; assumptions</t>
        </is>
      </c>
      <c r="B3" s="3" t="n"/>
      <c r="C3" s="3" t="n"/>
      <c r="D3" s="3" t="n"/>
      <c r="E3" s="3" t="n"/>
    </row>
    <row r="4" ht="45" customHeight="1">
      <c r="A4" s="4" t="inlineStr">
        <is>
          <t>Hogspanning power-subscription (Vattenfall N4) for ~1 MW. Energy is competitive Nord Pool spot in the depot's SE1-SE4 zone. Grid = fixed + effektavgift + seasonal overforing.</t>
        </is>
      </c>
    </row>
    <row r="6">
      <c r="A6" s="3" t="inlineStr">
        <is>
          <t>B · Tariff components</t>
        </is>
      </c>
      <c r="B6" s="3" t="n"/>
      <c r="C6" s="3" t="n"/>
      <c r="D6" s="3" t="n"/>
      <c r="E6" s="3" t="n"/>
    </row>
    <row r="7">
      <c r="A7" s="1" t="inlineStr">
        <is>
          <t>Component</t>
        </is>
      </c>
      <c r="B7" s="1" t="inlineStr">
        <is>
          <t>Category</t>
        </is>
      </c>
      <c r="C7" s="1" t="inlineStr">
        <is>
          <t>Legal basis</t>
        </is>
      </c>
      <c r="D7" s="1" t="inlineStr">
        <is>
          <t>Calculation</t>
        </is>
      </c>
      <c r="E7" s="1" t="inlineStr">
        <is>
          <t>Region variation</t>
        </is>
      </c>
    </row>
    <row r="8">
      <c r="A8" s="5" t="inlineStr">
        <is>
          <t>Spotpris / elhandelspris</t>
        </is>
      </c>
      <c r="B8" s="5" t="inlineStr">
        <is>
          <t>energy</t>
        </is>
      </c>
      <c r="C8" s="5" t="inlineStr">
        <is>
          <t>Nord Pool day-ahead (SE1-SE4)</t>
        </is>
      </c>
      <c r="D8" s="5" t="inlineStr">
        <is>
          <t>E x p_spot (zone-dependent)</t>
        </is>
      </c>
      <c r="E8" s="5" t="inlineStr">
        <is>
          <t>Supplier &amp; zone</t>
        </is>
      </c>
    </row>
    <row r="9">
      <c r="A9" s="5" t="inlineStr">
        <is>
          <t>Pa slag (markup)</t>
        </is>
      </c>
      <c r="B9" s="5" t="inlineStr">
        <is>
          <t>energy</t>
        </is>
      </c>
      <c r="C9" s="5" t="inlineStr">
        <is>
          <t>Contract</t>
        </is>
      </c>
      <c r="D9" s="5" t="inlineStr">
        <is>
          <t>small ore/kWh adder</t>
        </is>
      </c>
      <c r="E9" s="5" t="inlineStr">
        <is>
          <t>Supplier</t>
        </is>
      </c>
    </row>
    <row r="10">
      <c r="A10" s="5" t="inlineStr">
        <is>
          <t>Fast avgift</t>
        </is>
      </c>
      <c r="B10" s="5" t="inlineStr">
        <is>
          <t>fixed</t>
        </is>
      </c>
      <c r="C10" s="5" t="inlineStr">
        <is>
          <t>Ellagen; Ei</t>
        </is>
      </c>
      <c r="D10" s="5" t="inlineStr">
        <is>
          <t>12 x 560 = 6,720 SEK</t>
        </is>
      </c>
      <c r="E10" s="5" t="inlineStr">
        <is>
          <t>DSO</t>
        </is>
      </c>
    </row>
    <row r="11">
      <c r="A11" s="5" t="inlineStr">
        <is>
          <t>Effektavgift</t>
        </is>
      </c>
      <c r="B11" s="5" t="inlineStr">
        <is>
          <t>grid-power</t>
        </is>
      </c>
      <c r="C11" s="5" t="inlineStr">
        <is>
          <t>Ellagen; Ei</t>
        </is>
      </c>
      <c r="D11" s="5" t="inlineStr">
        <is>
          <t>12 x 54 x P_max = 648,000 SEK</t>
        </is>
      </c>
      <c r="E11" s="5" t="inlineStr">
        <is>
          <t>DSO</t>
        </is>
      </c>
    </row>
    <row r="12">
      <c r="A12" s="5" t="inlineStr">
        <is>
          <t>Hoglasteffektavgift</t>
        </is>
      </c>
      <c r="B12" s="5" t="inlineStr">
        <is>
          <t>grid-power</t>
        </is>
      </c>
      <c r="C12" s="5" t="inlineStr">
        <is>
          <t>Ellagen; Ei</t>
        </is>
      </c>
      <c r="D12" s="5" t="inlineStr">
        <is>
          <t>12 x 0 x P_max (Vattenfall N4)</t>
        </is>
      </c>
      <c r="E12" s="5" t="inlineStr">
        <is>
          <t>DSO</t>
        </is>
      </c>
    </row>
    <row r="13">
      <c r="A13" s="5" t="inlineStr">
        <is>
          <t>Overforingsavgift</t>
        </is>
      </c>
      <c r="B13" s="5" t="inlineStr">
        <is>
          <t>grid-energy</t>
        </is>
      </c>
      <c r="C13" s="5" t="inlineStr">
        <is>
          <t>Ellagen; Ei</t>
        </is>
      </c>
      <c r="D13" s="5" t="inlineStr">
        <is>
          <t>E_hog x 0.612 + E_lag x 0.244 SEK</t>
        </is>
      </c>
      <c r="E13" s="5" t="inlineStr">
        <is>
          <t>DSO/zone</t>
        </is>
      </c>
    </row>
    <row r="14">
      <c r="A14" s="5" t="inlineStr">
        <is>
          <t>Energiskatt</t>
        </is>
      </c>
      <c r="B14" s="5" t="inlineStr">
        <is>
          <t>tax</t>
        </is>
      </c>
      <c r="C14" s="5" t="inlineStr">
        <is>
          <t>Lag 1994:1776</t>
        </is>
      </c>
      <c r="D14" s="5" t="inlineStr">
        <is>
          <t>E x 0.360 = 720,000 SEK</t>
        </is>
      </c>
      <c r="E14" s="5" t="inlineStr">
        <is>
          <t>National (north reduction)</t>
        </is>
      </c>
    </row>
    <row r="15">
      <c r="A15" s="5" t="inlineStr">
        <is>
          <t>Industri 0.6 ore (N/A)</t>
        </is>
      </c>
      <c r="B15" s="5" t="inlineStr">
        <is>
          <t>tax</t>
        </is>
      </c>
      <c r="C15" s="5" t="inlineStr">
        <is>
          <t>Lag 1994:1776</t>
        </is>
      </c>
      <c r="D15" s="5" t="inlineStr">
        <is>
          <t>Depot does NOT qualify (logistics)</t>
        </is>
      </c>
      <c r="E15" s="5" t="inlineStr">
        <is>
          <t>National</t>
        </is>
      </c>
    </row>
    <row r="16">
      <c r="A16" s="5" t="inlineStr">
        <is>
          <t>Moms (VAT)</t>
        </is>
      </c>
      <c r="B16" s="5" t="inlineStr">
        <is>
          <t>tax</t>
        </is>
      </c>
      <c r="C16" s="5" t="inlineStr">
        <is>
          <t>Mervardesskattelagen</t>
        </is>
      </c>
      <c r="D16" s="5" t="inlineStr">
        <is>
          <t>25% (recoverable)</t>
        </is>
      </c>
      <c r="E16" s="5" t="inlineStr">
        <is>
          <t>National</t>
        </is>
      </c>
    </row>
    <row r="17">
      <c r="A17" s="5" t="inlineStr">
        <is>
          <t>Elcertifikat</t>
        </is>
      </c>
      <c r="B17" s="5" t="inlineStr">
        <is>
          <t>surcharge</t>
        </is>
      </c>
      <c r="C17" s="5" t="inlineStr">
        <is>
          <t>Lag 2003:113</t>
        </is>
      </c>
      <c r="D17" s="5" t="inlineStr">
        <is>
          <t>small, phasing out (~0)</t>
        </is>
      </c>
      <c r="E17" s="5" t="inlineStr">
        <is>
          <t>Supplier</t>
        </is>
      </c>
    </row>
    <row r="19">
      <c r="A19" s="3" t="inlineStr">
        <is>
          <t>C · Symbolic formulas</t>
        </is>
      </c>
      <c r="B19" s="3" t="n"/>
      <c r="C19" s="3" t="n"/>
      <c r="D19" s="3" t="n"/>
      <c r="E19" s="3" t="n"/>
    </row>
    <row r="20">
      <c r="A20" s="6" t="inlineStr">
        <is>
          <t>Energy</t>
        </is>
      </c>
      <c r="B20" s="4" t="inlineStr">
        <is>
          <t>C_energy = E * p_spot  (zone-dependent)</t>
        </is>
      </c>
    </row>
    <row r="21">
      <c r="A21" s="6" t="inlineStr">
        <is>
          <t>Grid fixed</t>
        </is>
      </c>
      <c r="B21" s="4" t="inlineStr">
        <is>
          <t>C_fast = 12*560 = 6720</t>
        </is>
      </c>
    </row>
    <row r="22">
      <c r="A22" s="6" t="inlineStr">
        <is>
          <t>Grid power</t>
        </is>
      </c>
      <c r="B22" s="4" t="inlineStr">
        <is>
          <t>C_effekt = 12*54*P_max = 648000</t>
        </is>
      </c>
    </row>
    <row r="23">
      <c r="A23" s="6" t="inlineStr">
        <is>
          <t>Grid energy</t>
        </is>
      </c>
      <c r="B23" s="4" t="inlineStr">
        <is>
          <t>C_overf = E_hog*0.612 + E_lag*0.244</t>
        </is>
      </c>
    </row>
    <row r="24">
      <c r="A24" s="6" t="inlineStr">
        <is>
          <t>Energy tax</t>
        </is>
      </c>
      <c r="B24" s="4" t="inlineStr">
        <is>
          <t>C_skatt = E*0.360 = 720000</t>
        </is>
      </c>
    </row>
    <row r="25">
      <c r="A25" s="6" t="inlineStr">
        <is>
          <t>TOTAL</t>
        </is>
      </c>
      <c r="B25" s="4" t="inlineStr">
        <is>
          <t>Subtotal_excl_VAT = sum(above);  Total = 1.25*Subtotal (VAT recoverable)</t>
        </is>
      </c>
    </row>
    <row r="27">
      <c r="A27" s="3" t="inlineStr">
        <is>
          <t>D · V2G / feed-in / export</t>
        </is>
      </c>
      <c r="B27" s="3" t="n"/>
      <c r="C27" s="3" t="n"/>
      <c r="D27" s="3" t="n"/>
      <c r="E27" s="3" t="n"/>
    </row>
    <row r="28" ht="60" customHeight="1">
      <c r="A28" s="4" t="inlineStr">
        <is>
          <t>Export =&gt; producer/inmatning customer (natnytta ~5.9 ore/kWh + energy sold at ~spot). 60-ore micro-production tax credit does NOT apply (needs &lt;=100 A AND abolished 2026-01-01). No dedicated V2G tariff regime; not modelled.</t>
        </is>
      </c>
    </row>
    <row r="30">
      <c r="A30" s="3" t="inlineStr">
        <is>
          <t>F · References — see the web app country page for full citation list</t>
        </is>
      </c>
      <c r="B30" s="3" t="n"/>
      <c r="C30" s="3" t="n"/>
      <c r="D30" s="3" t="n"/>
      <c r="E30" s="3" t="n"/>
    </row>
  </sheetData>
  <mergeCells count="8">
    <mergeCell ref="B23:E23"/>
    <mergeCell ref="A4:E4"/>
    <mergeCell ref="A28:E28"/>
    <mergeCell ref="B21:E21"/>
    <mergeCell ref="B25:E25"/>
    <mergeCell ref="B24:E24"/>
    <mergeCell ref="B20:E20"/>
    <mergeCell ref="B22:E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6" customWidth="1" min="3" max="3"/>
    <col width="40" customWidth="1" min="4" max="4"/>
    <col width="22" customWidth="1" min="5" max="5"/>
  </cols>
  <sheetData>
    <row r="1">
      <c r="A1" s="2" t="inlineStr">
        <is>
          <t>China — truck-depot electricity tariff</t>
        </is>
      </c>
    </row>
    <row r="3">
      <c r="A3" s="3" t="inlineStr">
        <is>
          <t>A · Classification &amp; assumptions</t>
        </is>
      </c>
      <c r="B3" s="3" t="n"/>
      <c r="C3" s="3" t="n"/>
      <c r="D3" s="3" t="n"/>
      <c r="E3" s="3" t="n"/>
    </row>
    <row r="4" ht="45" customHeight="1">
      <c r="A4" s="4" t="inlineStr">
        <is>
          <t>10 kV, 工商业 C&amp;I, two-part (&gt;=315 kVA mandatory). Energy market-determined (agent-purchase 0.3715 yuan/kWh Apr-2026, Jiangsu). Demand: capacity (kVA) or max-demand (kW) basis.</t>
        </is>
      </c>
    </row>
    <row r="6">
      <c r="A6" s="3" t="inlineStr">
        <is>
          <t>B · Tariff components</t>
        </is>
      </c>
      <c r="B6" s="3" t="n"/>
      <c r="C6" s="3" t="n"/>
      <c r="D6" s="3" t="n"/>
      <c r="E6" s="3" t="n"/>
    </row>
    <row r="7">
      <c r="A7" s="1" t="inlineStr">
        <is>
          <t>Component</t>
        </is>
      </c>
      <c r="B7" s="1" t="inlineStr">
        <is>
          <t>Category</t>
        </is>
      </c>
      <c r="C7" s="1" t="inlineStr">
        <is>
          <t>Legal basis</t>
        </is>
      </c>
      <c r="D7" s="1" t="inlineStr">
        <is>
          <t>Calculation</t>
        </is>
      </c>
      <c r="E7" s="1" t="inlineStr">
        <is>
          <t>Region variation</t>
        </is>
      </c>
    </row>
    <row r="8">
      <c r="A8" s="5" t="inlineStr">
        <is>
          <t>Agent-purchase energy</t>
        </is>
      </c>
      <c r="B8" s="5" t="inlineStr">
        <is>
          <t>energy</t>
        </is>
      </c>
      <c r="C8" s="5" t="inlineStr">
        <is>
          <t>NDRC 1439 (2021)</t>
        </is>
      </c>
      <c r="D8" s="5" t="inlineStr">
        <is>
          <t>0.3715 yuan/kWh (monthly, Jiangsu)</t>
        </is>
      </c>
      <c r="E8" s="5" t="inlineStr">
        <is>
          <t>Province/month</t>
        </is>
      </c>
    </row>
    <row r="9">
      <c r="A9" s="5" t="inlineStr">
        <is>
          <t>Line-loss charge</t>
        </is>
      </c>
      <c r="B9" s="5" t="inlineStr">
        <is>
          <t>grid-energy</t>
        </is>
      </c>
      <c r="C9" s="5" t="inlineStr">
        <is>
          <t>NDRC 526</t>
        </is>
      </c>
      <c r="D9" s="5" t="inlineStr">
        <is>
          <t>0.0123 yuan/kWh</t>
        </is>
      </c>
      <c r="E9" s="5" t="inlineStr">
        <is>
          <t>Province</t>
        </is>
      </c>
    </row>
    <row r="10">
      <c r="A10" s="5" t="inlineStr">
        <is>
          <t>T&amp;D energy price</t>
        </is>
      </c>
      <c r="B10" s="5" t="inlineStr">
        <is>
          <t>grid-energy</t>
        </is>
      </c>
      <c r="C10" s="5" t="inlineStr">
        <is>
          <t>NDRC 526 (2023)</t>
        </is>
      </c>
      <c r="D10" s="5" t="inlineStr">
        <is>
          <t>0.1357 yuan/kWh @10kV</t>
        </is>
      </c>
      <c r="E10" s="5" t="inlineStr">
        <is>
          <t>Province</t>
        </is>
      </c>
    </row>
    <row r="11">
      <c r="A11" s="5" t="inlineStr">
        <is>
          <t>Capacity charge</t>
        </is>
      </c>
      <c r="B11" s="5" t="inlineStr">
        <is>
          <t>grid-power</t>
        </is>
      </c>
      <c r="C11" s="5" t="inlineStr">
        <is>
          <t>NDRC 526; two-part</t>
        </is>
      </c>
      <c r="D11" s="5" t="inlineStr">
        <is>
          <t>S_kVA x 32 x 12 = 384,000 yuan</t>
        </is>
      </c>
      <c r="E11" s="5" t="inlineStr">
        <is>
          <t>Province</t>
        </is>
      </c>
    </row>
    <row r="12">
      <c r="A12" s="5" t="inlineStr">
        <is>
          <t>Max-demand charge</t>
        </is>
      </c>
      <c r="B12" s="5" t="inlineStr">
        <is>
          <t>grid-power</t>
        </is>
      </c>
      <c r="C12" s="5" t="inlineStr">
        <is>
          <t>NDRC 526; two-part</t>
        </is>
      </c>
      <c r="D12" s="5" t="inlineStr">
        <is>
          <t>P_max x 51.2 x 12 (x0.9 if &gt;=260 kWh/kVA)</t>
        </is>
      </c>
      <c r="E12" s="5" t="inlineStr">
        <is>
          <t>Province</t>
        </is>
      </c>
    </row>
    <row r="13">
      <c r="A13" s="5" t="inlineStr">
        <is>
          <t>System operation cost</t>
        </is>
      </c>
      <c r="B13" s="5" t="inlineStr">
        <is>
          <t>surcharge</t>
        </is>
      </c>
      <c r="C13" s="5" t="inlineStr">
        <is>
          <t>Market rules</t>
        </is>
      </c>
      <c r="D13" s="5" t="inlineStr">
        <is>
          <t>0.0688 yuan/kWh</t>
        </is>
      </c>
      <c r="E13" s="5" t="inlineStr">
        <is>
          <t>Province</t>
        </is>
      </c>
    </row>
    <row r="14">
      <c r="A14" s="5" t="inlineStr">
        <is>
          <t>Govt funds &amp; surcharges</t>
        </is>
      </c>
      <c r="B14" s="5" t="inlineStr">
        <is>
          <t>levy</t>
        </is>
      </c>
      <c r="C14" s="5" t="inlineStr">
        <is>
          <t>National funds</t>
        </is>
      </c>
      <c r="D14" s="5" t="inlineStr">
        <is>
          <t>0.0294 yuan/kWh (incl. renewable 0.019)</t>
        </is>
      </c>
      <c r="E14" s="5" t="inlineStr">
        <is>
          <t>Province</t>
        </is>
      </c>
    </row>
    <row r="15">
      <c r="A15" s="5" t="inlineStr">
        <is>
          <t>ToU peak/flat/valley</t>
        </is>
      </c>
      <c r="B15" s="5" t="inlineStr">
        <is>
          <t>energy</t>
        </is>
      </c>
      <c r="C15" s="5" t="inlineStr">
        <is>
          <t>Su DRC 426/2025</t>
        </is>
      </c>
      <c r="D15" s="5" t="inlineStr">
        <is>
          <t>peak +80%/valley -65%; 0.9149/0.6177/0.3762</t>
        </is>
      </c>
      <c r="E15" s="5" t="inlineStr">
        <is>
          <t>Province</t>
        </is>
      </c>
    </row>
    <row r="16">
      <c r="A16" s="5" t="inlineStr">
        <is>
          <t>Critical-peak/deep-valley</t>
        </is>
      </c>
      <c r="B16" s="5" t="inlineStr">
        <is>
          <t>energy</t>
        </is>
      </c>
      <c r="C16" s="5" t="inlineStr">
        <is>
          <t>Su DRC; &gt;=315 kVA</t>
        </is>
      </c>
      <c r="D16" s="5" t="inlineStr">
        <is>
          <t>+20% / -20%</t>
        </is>
      </c>
      <c r="E16" s="5" t="inlineStr">
        <is>
          <t>Few provinces</t>
        </is>
      </c>
    </row>
    <row r="17">
      <c r="A17" s="5" t="inlineStr">
        <is>
          <t>VAT (13%)</t>
        </is>
      </c>
      <c r="B17" s="5" t="inlineStr">
        <is>
          <t>tax</t>
        </is>
      </c>
      <c r="C17" s="5" t="inlineStr">
        <is>
          <t>National</t>
        </is>
      </c>
      <c r="D17" s="5" t="inlineStr">
        <is>
          <t>included in published yuan/kWh</t>
        </is>
      </c>
      <c r="E17" s="5" t="inlineStr">
        <is>
          <t>National</t>
        </is>
      </c>
    </row>
    <row r="18">
      <c r="A18" s="5" t="inlineStr">
        <is>
          <t>Power-factor adjustment</t>
        </is>
      </c>
      <c r="B18" s="5" t="inlineStr">
        <is>
          <t>surcharge</t>
        </is>
      </c>
      <c r="C18" s="5" t="inlineStr">
        <is>
          <t>Lilv method</t>
        </is>
      </c>
      <c r="D18" s="5" t="inlineStr">
        <is>
          <t>+/- vs PF 0.9 (per account)</t>
        </is>
      </c>
      <c r="E18" s="5" t="inlineStr">
        <is>
          <t>Standard varies</t>
        </is>
      </c>
    </row>
    <row r="20">
      <c r="A20" s="3" t="inlineStr">
        <is>
          <t>C · Symbolic formulas</t>
        </is>
      </c>
      <c r="B20" s="3" t="n"/>
      <c r="C20" s="3" t="n"/>
      <c r="D20" s="3" t="n"/>
      <c r="E20" s="3" t="n"/>
    </row>
    <row r="21">
      <c r="A21" s="6" t="inlineStr">
        <is>
          <t>Energy (ToU)</t>
        </is>
      </c>
      <c r="B21" s="4" t="inlineStr">
        <is>
          <t>E_peak*0.9149 + E_flat*0.6177 + E_valley*0.3762</t>
        </is>
      </c>
    </row>
    <row r="22">
      <c r="A22" s="6" t="inlineStr">
        <is>
          <t>Demand (capacity)</t>
        </is>
      </c>
      <c r="B22" s="4" t="inlineStr">
        <is>
          <t>S_kVA*32*12 = 384000</t>
        </is>
      </c>
    </row>
    <row r="23">
      <c r="A23" s="6" t="inlineStr">
        <is>
          <t>Demand (max-demand)</t>
        </is>
      </c>
      <c r="B23" s="4" t="inlineStr">
        <is>
          <t>P_max*51.2*12  (x0.9 if kWh/kVA&gt;=260)</t>
        </is>
      </c>
    </row>
    <row r="24">
      <c r="A24" s="6" t="inlineStr">
        <is>
          <t>Power factor</t>
        </is>
      </c>
      <c r="B24" s="4" t="inlineStr">
        <is>
          <t>PF_cost = +/- beta*(Energy+Demand)</t>
        </is>
      </c>
    </row>
    <row r="25">
      <c r="A25" s="6" t="inlineStr">
        <is>
          <t>TOTAL</t>
        </is>
      </c>
      <c r="B25" s="4" t="inlineStr">
        <is>
          <t>Total = Energy + Demand + PF   (VAT included). Illustrative ~1.65M yuan/yr</t>
        </is>
      </c>
    </row>
    <row r="27">
      <c r="A27" s="3" t="inlineStr">
        <is>
          <t>D · V2G / feed-in / export</t>
        </is>
      </c>
      <c r="B27" s="3" t="n"/>
      <c r="C27" s="3" t="n"/>
      <c r="D27" s="3" t="n"/>
      <c r="E27" s="3" t="n"/>
    </row>
    <row r="28" ht="60" customHeight="1">
      <c r="A28" s="4" t="inlineStr">
        <is>
          <t>V2G (车网互动) pilot-stage: 718/2024 + 241/2025 (9 cities, 30 projects). No national feed-in tariff; compensation via local pilots/aggregators/market. Not modelled.</t>
        </is>
      </c>
    </row>
    <row r="30">
      <c r="A30" s="3" t="inlineStr">
        <is>
          <t>F · References — see the web app country page for full citation list</t>
        </is>
      </c>
      <c r="B30" s="3" t="n"/>
      <c r="C30" s="3" t="n"/>
      <c r="D30" s="3" t="n"/>
      <c r="E30" s="3" t="n"/>
    </row>
  </sheetData>
  <mergeCells count="7">
    <mergeCell ref="B23:E23"/>
    <mergeCell ref="A4:E4"/>
    <mergeCell ref="A28:E28"/>
    <mergeCell ref="B21:E21"/>
    <mergeCell ref="B25:E25"/>
    <mergeCell ref="B24:E24"/>
    <mergeCell ref="B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2026-06-11T08:52:26Z</dcterms:created>
  <dcterms:modified xsi:type="dcterms:W3CDTF">2026-06-11T08:52:26Z</dcterms:modified>
</cp:coreProperties>
</file>